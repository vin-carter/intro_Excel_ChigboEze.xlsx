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opbee\Desktop\"/>
    </mc:Choice>
  </mc:AlternateContent>
  <bookViews>
    <workbookView xWindow="11745" yWindow="900" windowWidth="38700" windowHeight="15345" tabRatio="808" firstSheet="1" activeTab="9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0" l="1"/>
  <c r="A2" i="10"/>
  <c r="E3" i="9"/>
  <c r="C23" i="8"/>
  <c r="C19" i="8"/>
  <c r="C15" i="8"/>
  <c r="C11" i="8"/>
  <c r="D23" i="8"/>
  <c r="C6" i="8" l="1"/>
  <c r="C5" i="8"/>
  <c r="C4" i="8"/>
  <c r="C3" i="8"/>
  <c r="C2" i="8"/>
  <c r="A32" i="7"/>
  <c r="A29" i="7"/>
  <c r="A26" i="7"/>
  <c r="A15" i="7"/>
  <c r="A11" i="7"/>
  <c r="A7" i="7"/>
  <c r="A3" i="7"/>
  <c r="F9" i="6"/>
  <c r="F7" i="6"/>
  <c r="F3" i="6"/>
  <c r="F2" i="6"/>
  <c r="E12" i="5"/>
  <c r="E11" i="5"/>
  <c r="E10" i="5"/>
  <c r="E8" i="5"/>
  <c r="E7" i="5"/>
  <c r="E6" i="5"/>
  <c r="E5" i="5"/>
  <c r="E4" i="5"/>
  <c r="E3" i="5"/>
  <c r="E2" i="5"/>
  <c r="B5" i="4"/>
  <c r="F5" i="5"/>
  <c r="F2" i="5"/>
  <c r="F7" i="5"/>
  <c r="F3" i="5"/>
  <c r="F4" i="5"/>
  <c r="F8" i="5"/>
  <c r="C5" i="4"/>
  <c r="F6" i="5"/>
  <c r="B3" i="11" l="1"/>
  <c r="A2" i="11"/>
  <c r="A3" i="11" s="1"/>
  <c r="A1" i="11"/>
  <c r="B4" i="4"/>
  <c r="B4" i="11" l="1"/>
</calcChain>
</file>

<file path=xl/sharedStrings.xml><?xml version="1.0" encoding="utf-8"?>
<sst xmlns="http://schemas.openxmlformats.org/spreadsheetml/2006/main" count="152" uniqueCount="75">
  <si>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</si>
  <si>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</si>
  <si>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</si>
  <si>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</si>
  <si>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</si>
  <si>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</si>
  <si>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</si>
  <si>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</si>
  <si>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</si>
  <si>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</si>
  <si>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</si>
  <si>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</si>
  <si>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</si>
  <si>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</si>
  <si>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</si>
  <si>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</si>
  <si>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</si>
  <si>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</si>
  <si>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</si>
  <si>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</si>
  <si>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</si>
  <si>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</si>
  <si>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</si>
  <si>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</si>
  <si>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</si>
  <si>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</si>
  <si>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</si>
  <si>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</si>
  <si>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</si>
  <si>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</si>
  <si>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</si>
  <si>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</si>
  <si>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</si>
  <si>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</si>
  <si>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</si>
  <si>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</si>
  <si>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</si>
  <si>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</si>
  <si>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</si>
  <si>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</si>
  <si>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</si>
  <si>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</si>
  <si>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</si>
  <si>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</si>
  <si>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</si>
  <si>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</si>
  <si>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</si>
  <si>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</si>
  <si>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</si>
  <si>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</si>
  <si>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</si>
  <si>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</si>
  <si>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</si>
  <si>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</si>
  <si>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</si>
  <si>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</si>
  <si>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</si>
  <si>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</si>
  <si>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</si>
  <si>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</si>
  <si>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</si>
  <si>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</si>
  <si>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</si>
  <si>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</si>
  <si>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</si>
  <si>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</si>
  <si>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</si>
  <si>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</si>
  <si>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</si>
  <si>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</si>
  <si>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</si>
  <si>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</si>
  <si>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</si>
  <si>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my excel workbook doesn’t have the textjoin function.</t>
  </si>
  <si>
    <t>no xlookup functions in my excel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</si>
</sst>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="175" zoomScaleNormal="175" workbookViewId="0">
      <selection activeCell="B3" sqref="B3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</row>
    <row r="4" spans="1:7" x14ac:dyDescent="0.25">
      <c r="A4" s="2" t="s">
        <v>7</v>
      </c>
    </row>
    <row r="5" spans="1:7" x14ac:dyDescent="0.25">
      <c r="A5" s="2" t="s">
        <v>8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zoomScale="310" zoomScaleNormal="310" workbookViewId="0">
      <selection activeCell="A2" sqref="A2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265" zoomScaleNormal="265" workbookViewId="0">
      <selection activeCell="B11" sqref="B11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(B2-B3)*D2</f>
        <v>0.60000000000000009</v>
      </c>
      <c r="C5" t="str">
        <f ca="1">_xlfn.FORMULATEXT(B5)</f>
        <v>=(B2-B3)*D2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175" zoomScaleNormal="175" workbookViewId="0">
      <selection activeCell="E13" sqref="E13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7.5703125" bestFit="1" customWidth="1"/>
    <col min="6" max="6" width="15.85546875" customWidth="1"/>
  </cols>
  <sheetData>
    <row r="1" spans="1:6" x14ac:dyDescent="0.25">
      <c r="A1" s="2" t="s">
        <v>13</v>
      </c>
      <c r="B1" s="2" t="s">
        <v>14</v>
      </c>
    </row>
    <row r="2" spans="1:6" x14ac:dyDescent="0.25">
      <c r="A2" t="s">
        <v>0</v>
      </c>
      <c r="B2">
        <v>97</v>
      </c>
      <c r="D2" t="s">
        <v>15</v>
      </c>
      <c r="E2">
        <f>SUM(B2:B8)</f>
        <v>421</v>
      </c>
      <c r="F2" t="str">
        <f ca="1">_xlfn.FORMULATEXT(E2)</f>
        <v>=SUM(B2:B8)</v>
      </c>
    </row>
    <row r="3" spans="1:6" x14ac:dyDescent="0.25">
      <c r="A3" t="s">
        <v>1</v>
      </c>
      <c r="B3">
        <v>77</v>
      </c>
      <c r="D3" t="s">
        <v>16</v>
      </c>
      <c r="E3">
        <f>MAX(B2:B8)</f>
        <v>97</v>
      </c>
      <c r="F3" t="str">
        <f t="shared" ref="F3:F8" ca="1" si="0">_xlfn.FORMULATEXT(E3)</f>
        <v>=MAX(B2:B8)</v>
      </c>
    </row>
    <row r="4" spans="1:6" x14ac:dyDescent="0.25">
      <c r="A4" t="s">
        <v>2</v>
      </c>
      <c r="B4">
        <v>67</v>
      </c>
      <c r="D4" t="s">
        <v>17</v>
      </c>
      <c r="E4">
        <f>MIN(B2:B8)</f>
        <v>36</v>
      </c>
      <c r="F4" t="str">
        <f t="shared" ca="1" si="0"/>
        <v>=MIN(B2:B8)</v>
      </c>
    </row>
    <row r="5" spans="1:6" x14ac:dyDescent="0.25">
      <c r="A5" t="s">
        <v>18</v>
      </c>
      <c r="B5">
        <v>52</v>
      </c>
      <c r="D5" t="s">
        <v>19</v>
      </c>
      <c r="E5">
        <f>LARGE(B2:B8,2)</f>
        <v>77</v>
      </c>
      <c r="F5" t="str">
        <f t="shared" ca="1" si="0"/>
        <v>=LARGE(B2:B8,2)</v>
      </c>
    </row>
    <row r="6" spans="1:6" x14ac:dyDescent="0.25">
      <c r="A6" t="s">
        <v>20</v>
      </c>
      <c r="B6">
        <v>52</v>
      </c>
      <c r="D6" t="s">
        <v>21</v>
      </c>
      <c r="E6">
        <f>SMALL(B2:B8,2)</f>
        <v>40</v>
      </c>
      <c r="F6" t="str">
        <f t="shared" ca="1" si="0"/>
        <v>=SMALL(B2:B8,2)</v>
      </c>
    </row>
    <row r="7" spans="1:6" x14ac:dyDescent="0.25">
      <c r="A7" t="s">
        <v>22</v>
      </c>
      <c r="B7">
        <v>40</v>
      </c>
      <c r="D7" t="s">
        <v>23</v>
      </c>
      <c r="E7">
        <f>COUNTA(A2:A8)</f>
        <v>7</v>
      </c>
      <c r="F7" t="str">
        <f t="shared" ca="1" si="0"/>
        <v>=COUNTA(A2:A8)</v>
      </c>
    </row>
    <row r="8" spans="1:6" x14ac:dyDescent="0.25">
      <c r="A8" t="s">
        <v>24</v>
      </c>
      <c r="B8">
        <v>36</v>
      </c>
      <c r="E8">
        <f>COUNT(B2:B8)</f>
        <v>7</v>
      </c>
      <c r="F8" t="str">
        <f t="shared" ca="1" si="0"/>
        <v>=COUNT(B2:B8)</v>
      </c>
    </row>
    <row r="10" spans="1:6" x14ac:dyDescent="0.25">
      <c r="D10" t="s">
        <v>25</v>
      </c>
      <c r="E10" s="8">
        <f>AVERAGE(B2:B8)</f>
        <v>60.142857142857146</v>
      </c>
    </row>
    <row r="11" spans="1:6" x14ac:dyDescent="0.25">
      <c r="D11" t="s">
        <v>26</v>
      </c>
      <c r="E11">
        <f>MEDIAN(B2:B8)</f>
        <v>52</v>
      </c>
    </row>
    <row r="12" spans="1:6" x14ac:dyDescent="0.25">
      <c r="D12" t="s">
        <v>27</v>
      </c>
      <c r="E12">
        <f>MODE(B2:B8)</f>
        <v>52</v>
      </c>
    </row>
  </sheetData>
  <sortState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="130" zoomScaleNormal="130" workbookViewId="0">
      <selection activeCell="F9" sqref="F9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SUMIF(B:B,B2,C:C)</f>
        <v>362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  <c r="F3">
        <f>SUMIFS(C:C,B:B,B2,A:A,A2)</f>
        <v>28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  <c r="F7" t="e">
        <f>AVERAGEIF(A:A,C:C,B:B)</f>
        <v>#DIV/0!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  <c r="F9">
        <f>COUNTIF(A:A,C:C)</f>
        <v>0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6" zoomScale="190" zoomScaleNormal="190" workbookViewId="0">
      <selection activeCell="A19" sqref="A19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CONCATENATE(A10," ",B10," ",C10)</f>
        <v>Kevin Cookie Company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A14&amp;" "&amp;B14&amp;" "&amp;C14</f>
        <v>Kevin Cookie 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">
        <v>73</v>
      </c>
    </row>
    <row r="21" spans="1:3" x14ac:dyDescent="0.25">
      <c r="A21" s="2" t="s">
        <v>50</v>
      </c>
    </row>
    <row r="22" spans="1:3" x14ac:dyDescent="0.25">
      <c r="A22" t="s">
        <v>51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55</v>
      </c>
    </row>
    <row r="29" spans="1:3" x14ac:dyDescent="0.25">
      <c r="A29">
        <f>FIND("@",A28)</f>
        <v>4</v>
      </c>
    </row>
    <row r="31" spans="1:3" x14ac:dyDescent="0.25">
      <c r="A31" s="2" t="s">
        <v>56</v>
      </c>
    </row>
    <row r="32" spans="1:3" x14ac:dyDescent="0.25">
      <c r="A32" t="str">
        <f>LEFT(A28,FIND("@",A28)-1)</f>
        <v>sue</v>
      </c>
    </row>
  </sheetData>
  <hyperlinks>
    <hyperlink ref="A28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19" zoomScale="145" zoomScaleNormal="145" workbookViewId="0">
      <selection activeCell="D24" sqref="D24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57</v>
      </c>
    </row>
    <row r="2" spans="1:3" x14ac:dyDescent="0.25">
      <c r="A2" t="s">
        <v>53</v>
      </c>
      <c r="B2" t="s">
        <v>58</v>
      </c>
      <c r="C2" t="b">
        <f>A2=B2</f>
        <v>0</v>
      </c>
    </row>
    <row r="3" spans="1:3" x14ac:dyDescent="0.25">
      <c r="A3">
        <v>10</v>
      </c>
      <c r="B3">
        <v>5</v>
      </c>
      <c r="C3" t="b">
        <f>B3=A3</f>
        <v>0</v>
      </c>
    </row>
    <row r="4" spans="1:3" x14ac:dyDescent="0.25">
      <c r="B4">
        <v>11</v>
      </c>
      <c r="C4" t="b">
        <f>A3&gt;B3</f>
        <v>1</v>
      </c>
    </row>
    <row r="5" spans="1:3" x14ac:dyDescent="0.25">
      <c r="C5" t="b">
        <f>A3&lt;=B4</f>
        <v>1</v>
      </c>
    </row>
    <row r="6" spans="1:3" x14ac:dyDescent="0.25">
      <c r="C6" t="b">
        <f>B3&gt;A3</f>
        <v>0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59</v>
      </c>
    </row>
    <row r="10" spans="1:3" x14ac:dyDescent="0.25">
      <c r="A10" t="s">
        <v>0</v>
      </c>
      <c r="B10">
        <v>97</v>
      </c>
      <c r="C10" t="s">
        <v>60</v>
      </c>
    </row>
    <row r="11" spans="1:3" x14ac:dyDescent="0.25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25">
      <c r="A12" t="s">
        <v>2</v>
      </c>
      <c r="B12">
        <v>150</v>
      </c>
    </row>
    <row r="13" spans="1:3" x14ac:dyDescent="0.25">
      <c r="C13" s="2" t="s">
        <v>61</v>
      </c>
    </row>
    <row r="14" spans="1:3" x14ac:dyDescent="0.25">
      <c r="C14" t="s">
        <v>62</v>
      </c>
    </row>
    <row r="15" spans="1:3" x14ac:dyDescent="0.25">
      <c r="C15" t="str">
        <f>IF(AND(B10&gt;B11,B10&lt;B12),"yes","no")</f>
        <v>no</v>
      </c>
    </row>
    <row r="17" spans="1:5" x14ac:dyDescent="0.25">
      <c r="C17" s="2" t="s">
        <v>63</v>
      </c>
    </row>
    <row r="18" spans="1:5" x14ac:dyDescent="0.25">
      <c r="C18" t="s">
        <v>64</v>
      </c>
    </row>
    <row r="19" spans="1:5" x14ac:dyDescent="0.25">
      <c r="C19" t="str">
        <f>IF(OR(B10&gt;B11,B10&lt;B12),"yes","no")</f>
        <v>yes</v>
      </c>
    </row>
    <row r="21" spans="1:5" x14ac:dyDescent="0.25">
      <c r="A21" s="2" t="s">
        <v>65</v>
      </c>
      <c r="B21" s="2" t="s">
        <v>66</v>
      </c>
      <c r="C21" s="2" t="s">
        <v>67</v>
      </c>
    </row>
    <row r="22" spans="1:5" x14ac:dyDescent="0.25">
      <c r="A22" t="s">
        <v>0</v>
      </c>
      <c r="B22">
        <v>10</v>
      </c>
      <c r="C22" t="s">
        <v>68</v>
      </c>
      <c r="E22" s="2" t="s">
        <v>2</v>
      </c>
    </row>
    <row r="23" spans="1:5" x14ac:dyDescent="0.25">
      <c r="A23" t="s">
        <v>1</v>
      </c>
      <c r="B23">
        <v>8</v>
      </c>
      <c r="C23">
        <f>IF(E22=A22,B22,IF(E22=A23,B23,IF(E22=A24,B24,"unknown")))</f>
        <v>5</v>
      </c>
      <c r="D23" t="str">
        <f ca="1">_xlfn.FORMULATEXT(C23)</f>
        <v>=IF(E22=A22,B22,IF(E22=A23,B23,IF(E22=A24,B24,"unknown")))</v>
      </c>
    </row>
    <row r="24" spans="1:5" x14ac:dyDescent="0.2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145" zoomScaleNormal="145" workbookViewId="0">
      <selection activeCell="F8" sqref="F8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2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25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25">
      <c r="A4" t="s">
        <v>2</v>
      </c>
      <c r="B4">
        <v>5</v>
      </c>
      <c r="C4">
        <v>2</v>
      </c>
    </row>
    <row r="5" spans="1:6" x14ac:dyDescent="0.25">
      <c r="E5" s="2" t="s">
        <v>70</v>
      </c>
    </row>
    <row r="6" spans="1:6" x14ac:dyDescent="0.25">
      <c r="E6" t="s">
        <v>68</v>
      </c>
      <c r="F6" t="s">
        <v>0</v>
      </c>
    </row>
    <row r="7" spans="1:6" x14ac:dyDescent="0.25">
      <c r="E7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zoomScale="250" zoomScaleNormal="250" workbookViewId="0">
      <selection activeCell="A6" sqref="A6"/>
    </sheetView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71</v>
      </c>
    </row>
    <row r="2" spans="1:1" x14ac:dyDescent="0.25">
      <c r="A2" s="6">
        <f ca="1">TODAY()</f>
        <v>46089</v>
      </c>
    </row>
    <row r="4" spans="1:1" x14ac:dyDescent="0.25">
      <c r="A4" s="2" t="s">
        <v>72</v>
      </c>
    </row>
    <row r="5" spans="1:1" x14ac:dyDescent="0.25">
      <c r="A5" s="7">
        <f ca="1">NOW()</f>
        <v>46089.865199652777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showFormulas="1" tabSelected="1" zoomScale="325" zoomScaleNormal="325" workbookViewId="0">
      <selection activeCell="A5" sqref="A5"/>
    </sheetView>
  </sheetViews>
  <sheetFormatPr defaultRowHeight="15" x14ac:dyDescent="0.25"/>
  <sheetData>
    <row r="1" spans="1:2" x14ac:dyDescent="0.25">
      <c r="A1" s="11">
        <f>5+4</f>
        <v>9</v>
      </c>
      <c r="B1">
        <v>1</v>
      </c>
    </row>
    <row r="2" spans="1:2" x14ac:dyDescent="0.25">
      <c r="A2" s="9">
        <f>8-2</f>
        <v>6</v>
      </c>
      <c r="B2">
        <v>3</v>
      </c>
    </row>
    <row r="3" spans="1:2" x14ac:dyDescent="0.25">
      <c r="A3" s="12">
        <f>A2+B2</f>
        <v>9</v>
      </c>
      <c r="B3" s="11">
        <f>4+2</f>
        <v>6</v>
      </c>
    </row>
    <row r="4" spans="1:2" x14ac:dyDescent="0.25">
      <c r="A4">
        <v>3</v>
      </c>
      <c r="B4" s="10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Topbee</cp:lastModifiedBy>
  <cp:revision/>
  <dcterms:created xsi:type="dcterms:W3CDTF">2022-05-10T22:30:35Z</dcterms:created>
  <dcterms:modified xsi:type="dcterms:W3CDTF">2026-03-08T20:46:13Z</dcterms:modified>
  <cp:category/>
  <cp:contentStatus/>
</cp:coreProperties>
</file>